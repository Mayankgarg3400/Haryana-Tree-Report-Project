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ct_Forest_Data" sheetId="1" state="visible" r:id="rId3"/>
    <sheet name="State_Overview" sheetId="2" state="visible" r:id="rId4"/>
    <sheet name="Recommended_Species" sheetId="3" state="visible" r:id="rId5"/>
    <sheet name="Data_Diction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<sst xmlns="http://schemas.openxmlformats.org/spreadsheetml/2006/main" count="199" uniqueCount="158">
  <si>
    <t xml:space="preserve">HARYANA — DISTRICT-WISE FOREST COVER &amp; TREE PLANTATION PLANNING DATA</t>
  </si>
  <si>
    <t xml:space="preserve">Source: India State of Forest Report (ISFR) 2019, Vol. II, Chapter 11.9 - Haryana (Forest Survey of India, MoEF&amp;CC). Satellite data: IRS Resourcesat-2 LISS III, Oct-Dec 2017.</t>
  </si>
  <si>
    <t xml:space="preserve">District</t>
  </si>
  <si>
    <t xml:space="preserve">Geographical Area (sq km)</t>
  </si>
  <si>
    <t xml:space="preserve">Very Dense Forest - VDF (sq km)</t>
  </si>
  <si>
    <t xml:space="preserve">Moderately Dense Forest - MDF (sq km)</t>
  </si>
  <si>
    <t xml:space="preserve">Open Forest - OF (sq km)</t>
  </si>
  <si>
    <t xml:space="preserve">Total Forest Cover (sq km)</t>
  </si>
  <si>
    <t xml:space="preserve">Forest Cover (% of GA)</t>
  </si>
  <si>
    <t xml:space="preserve">Change vs ISFR 2017 (sq km)</t>
  </si>
  <si>
    <t xml:space="preserve">Scrub Land (sq km)</t>
  </si>
  <si>
    <t xml:space="preserve">Non-Forest / Potentially Available Land (sq km)</t>
  </si>
  <si>
    <t xml:space="preserve">Available Land (% of GA)</t>
  </si>
  <si>
    <t xml:space="preserve">Forest Cover Category</t>
  </si>
  <si>
    <t xml:space="preserve">Afforestation Priority</t>
  </si>
  <si>
    <t xml:space="preserve">Suggested Species (state agroforestry priority list)</t>
  </si>
  <si>
    <t xml:space="preserve">Ambala</t>
  </si>
  <si>
    <t xml:space="preserve">Siwalik Chir Pine, Dry Siwalik Sal, Dalbergia sissoo, Eucalyptus sp. (soil &amp; moisture conservation belt)</t>
  </si>
  <si>
    <t xml:space="preserve">Bhiwani</t>
  </si>
  <si>
    <t xml:space="preserve">Prosopis cineraria (Khejri), Acacia tortilis, Azadirachta indica (Neem), Eucalyptus sp.</t>
  </si>
  <si>
    <t xml:space="preserve">Faridabad</t>
  </si>
  <si>
    <t xml:space="preserve">Poplar (Populus sp.), Eucalyptus sp., Dalbergia sissoo (Shisham), Azadirachta indica (Neem)</t>
  </si>
  <si>
    <t xml:space="preserve">Fatehabad</t>
  </si>
  <si>
    <t xml:space="preserve">Gurgaon</t>
  </si>
  <si>
    <t xml:space="preserve">Hisar</t>
  </si>
  <si>
    <t xml:space="preserve">Jhajjar</t>
  </si>
  <si>
    <t xml:space="preserve">Jind</t>
  </si>
  <si>
    <t xml:space="preserve">Kaithal</t>
  </si>
  <si>
    <t xml:space="preserve">Karnal</t>
  </si>
  <si>
    <t xml:space="preserve">Kurukshetra</t>
  </si>
  <si>
    <t xml:space="preserve">Mahendragarh</t>
  </si>
  <si>
    <t xml:space="preserve">Mewat</t>
  </si>
  <si>
    <t xml:space="preserve">Palwal</t>
  </si>
  <si>
    <t xml:space="preserve">Panchkula</t>
  </si>
  <si>
    <t xml:space="preserve">Panipat</t>
  </si>
  <si>
    <t xml:space="preserve">Rewari</t>
  </si>
  <si>
    <t xml:space="preserve">Rohtak</t>
  </si>
  <si>
    <t xml:space="preserve">Sirsa</t>
  </si>
  <si>
    <t xml:space="preserve">Sonipat</t>
  </si>
  <si>
    <t xml:space="preserve">Yamunanagar</t>
  </si>
  <si>
    <t xml:space="preserve">Grand Total / State</t>
  </si>
  <si>
    <t xml:space="preserve">-</t>
  </si>
  <si>
    <t xml:space="preserve">Notes:</t>
  </si>
  <si>
    <t xml:space="preserve">1. 'Non-Forest / Potentially Available Land' = Geographical Area - Total Forest Cover - Scrub. This is a desk estimate only; it includes built-up, agricultural, and other non-forest land and MUST be ground-verified (e.g. via Forest/Revenue Dept. land records, gram panchayat common land, Panchayat Deh, road/canal side strips) before actual plantation planning.</t>
  </si>
  <si>
    <t xml:space="preserve">2. 'Species Suggestion' column is based on state-level agroforestry and Trees-Outside-Forest (TOF) priority species reported in ISFR 2019 (Sec 11.9.1.1 and 11.9.10), grouped by broad agro-climatic zone (Shiwalik hill districts, arid south-west districts, and general Indo-Gangetic plain districts). It is indicative, not a site-specific working plan; local DFO / soil-survey input is required.</t>
  </si>
  <si>
    <t xml:space="preserve">3. Grand Total forest cover % (3.62%) matches the ISFR 2019 state figure; VDF = Very Dense Forest, MDF = Moderately Dense Forest, OF = Open Forest.</t>
  </si>
  <si>
    <t xml:space="preserve">4. Panchkula and Yamunanagar are the only districts with Very Dense Forest cover (Shiwalik hill tracts).</t>
  </si>
  <si>
    <t xml:space="preserve">HARYANA — STATE-LEVEL FOREST &amp; LAND USE OVERVIEW (ISFR 2019)</t>
  </si>
  <si>
    <t xml:space="preserve">Basic Geography</t>
  </si>
  <si>
    <t xml:space="preserve">Number of Districts</t>
  </si>
  <si>
    <t xml:space="preserve">Population (2011 Census, million)</t>
  </si>
  <si>
    <t xml:space="preserve">Population Density (per sq km)</t>
  </si>
  <si>
    <t xml:space="preserve">Average Annual Rainfall (mm)</t>
  </si>
  <si>
    <t xml:space="preserve">200 to 1,400</t>
  </si>
  <si>
    <t xml:space="preserve">Average Annual Temperature (°C)</t>
  </si>
  <si>
    <t xml:space="preserve">1 to 45</t>
  </si>
  <si>
    <t xml:space="preserve">Land Use Pattern (000' ha)</t>
  </si>
  <si>
    <t xml:space="preserve">Reporting Area for Land Utilization</t>
  </si>
  <si>
    <t xml:space="preserve">Forests</t>
  </si>
  <si>
    <t xml:space="preserve">Not Available for Cultivation</t>
  </si>
  <si>
    <t xml:space="preserve">Permanent Pastures / Grazing Land</t>
  </si>
  <si>
    <t xml:space="preserve">Land under Misc. Tree Crops / Groves</t>
  </si>
  <si>
    <t xml:space="preserve">Culturable Wasteland</t>
  </si>
  <si>
    <t xml:space="preserve">Fallow Land (other than current)</t>
  </si>
  <si>
    <t xml:space="preserve">Current Fallows</t>
  </si>
  <si>
    <t xml:space="preserve">Net Area Sown</t>
  </si>
  <si>
    <t xml:space="preserve">Forest Cover Summary (sq km)</t>
  </si>
  <si>
    <t xml:space="preserve">Very Dense Forest (VDF)</t>
  </si>
  <si>
    <t xml:space="preserve">Moderately Dense Forest (MDF)</t>
  </si>
  <si>
    <t xml:space="preserve">Open Forest (OF)</t>
  </si>
  <si>
    <t xml:space="preserve">Total Forest Cover</t>
  </si>
  <si>
    <t xml:space="preserve">Forest Cover % of GA</t>
  </si>
  <si>
    <t xml:space="preserve">3.62%</t>
  </si>
  <si>
    <t xml:space="preserve">Scrub</t>
  </si>
  <si>
    <t xml:space="preserve">+14.44</t>
  </si>
  <si>
    <t xml:space="preserve">Tree Cover (sq km)</t>
  </si>
  <si>
    <t xml:space="preserve">Extent of Trees Outside Forest / TOF (sq km)</t>
  </si>
  <si>
    <t xml:space="preserve">Recorded Forest Area (RFA) (sq km)</t>
  </si>
  <si>
    <t xml:space="preserve">Total RFA</t>
  </si>
  <si>
    <t xml:space="preserve">Reserved Forest (%)</t>
  </si>
  <si>
    <t xml:space="preserve">15.97%</t>
  </si>
  <si>
    <t xml:space="preserve">Protected Forest (%)</t>
  </si>
  <si>
    <t xml:space="preserve">74.28%</t>
  </si>
  <si>
    <t xml:space="preserve">Unclassed Forest (%)</t>
  </si>
  <si>
    <t xml:space="preserve">9.75%</t>
  </si>
  <si>
    <t xml:space="preserve">Forest land diverted (non-forestry use, Jan 2015-Feb 2019, ha)</t>
  </si>
  <si>
    <t xml:space="preserve">Carbon &amp; Growing Stock</t>
  </si>
  <si>
    <t xml:space="preserve">Total Forest Carbon Stock (million tonnes)</t>
  </si>
  <si>
    <t xml:space="preserve">CO2 Equivalent (million tonnes)</t>
  </si>
  <si>
    <t xml:space="preserve">Growing Stock in RFA (m cum)</t>
  </si>
  <si>
    <t xml:space="preserve">Growing Stock in TOF (m cum)</t>
  </si>
  <si>
    <t xml:space="preserve">Protected Areas</t>
  </si>
  <si>
    <t xml:space="preserve">National Parks</t>
  </si>
  <si>
    <t xml:space="preserve">Wildlife Sanctuaries</t>
  </si>
  <si>
    <t xml:space="preserve">Conservation Reserves</t>
  </si>
  <si>
    <t xml:space="preserve">Protected Area % of GA</t>
  </si>
  <si>
    <t xml:space="preserve">0.75%</t>
  </si>
  <si>
    <t xml:space="preserve">HARYANA — SPECIES REFERENCE FOR TREE PLANTATION PLANNING (ISFR 2019)</t>
  </si>
  <si>
    <t xml:space="preserve">A. Top species already dominant in Trees Outside Forests (TOF) - Rural areas</t>
  </si>
  <si>
    <t xml:space="preserve">Rank</t>
  </si>
  <si>
    <t xml:space="preserve">Species</t>
  </si>
  <si>
    <t xml:space="preserve">Relative Abundance (%)</t>
  </si>
  <si>
    <t xml:space="preserve">Eucalyptus species</t>
  </si>
  <si>
    <t xml:space="preserve">Dalbergia sissoo</t>
  </si>
  <si>
    <t xml:space="preserve">Prosopis cineraria</t>
  </si>
  <si>
    <t xml:space="preserve">Azadirachta indica</t>
  </si>
  <si>
    <t xml:space="preserve">Populus species</t>
  </si>
  <si>
    <t xml:space="preserve">B. Top species already dominant in Trees Outside Forests (TOF) - Urban areas</t>
  </si>
  <si>
    <t xml:space="preserve">Prosopis juliflora</t>
  </si>
  <si>
    <t xml:space="preserve">Morus species</t>
  </si>
  <si>
    <t xml:space="preserve">Melia azadirachta</t>
  </si>
  <si>
    <t xml:space="preserve">C. Major invasive species inside Recorded Forest Area - AVOID planting / prioritize removal</t>
  </si>
  <si>
    <t xml:space="preserve">Estimated Extent (sq km)</t>
  </si>
  <si>
    <t xml:space="preserve">Lantana camara</t>
  </si>
  <si>
    <t xml:space="preserve">Saccharum spontaneum</t>
  </si>
  <si>
    <t xml:space="preserve">Ageratum houstonianum</t>
  </si>
  <si>
    <t xml:space="preserve">Leucaena leucocephala</t>
  </si>
  <si>
    <t xml:space="preserve">D. Major forest types by % area (Champion &amp; Seth classification) - reference for native species choice</t>
  </si>
  <si>
    <t xml:space="preserve">Forest Type</t>
  </si>
  <si>
    <t xml:space="preserve">% of Forest Cover</t>
  </si>
  <si>
    <t xml:space="preserve">Dry Siwalik Sal Forest</t>
  </si>
  <si>
    <t xml:space="preserve">Northern Dry Mixed Deciduous Forest</t>
  </si>
  <si>
    <t xml:space="preserve">Dry Deciduous Scrub</t>
  </si>
  <si>
    <t xml:space="preserve">Dry Bamboo Brakes</t>
  </si>
  <si>
    <t xml:space="preserve">Anogeissus Pendula Scrub</t>
  </si>
  <si>
    <t xml:space="preserve">Anogeissus Pendula Forest</t>
  </si>
  <si>
    <t xml:space="preserve">Ravine Thorn Forest</t>
  </si>
  <si>
    <t xml:space="preserve">Desert Thorn Forest</t>
  </si>
  <si>
    <t xml:space="preserve">Desert Dune Scrub</t>
  </si>
  <si>
    <t xml:space="preserve">Siwalik Chir Pine Forest</t>
  </si>
  <si>
    <t xml:space="preserve">Plantation / Trees Outside Forest (TOF)</t>
  </si>
  <si>
    <t xml:space="preserve">Note: NTFP species recorded - Calamus longisetus (shrub, cane/rattan, 100% relative abundance in rapid biodiversity assessment).</t>
  </si>
  <si>
    <t xml:space="preserve">DATA DICTIONARY — for RAG / search reference</t>
  </si>
  <si>
    <t xml:space="preserve">Column / Term</t>
  </si>
  <si>
    <t xml:space="preserve">Definition</t>
  </si>
  <si>
    <t xml:space="preserve">Sheet</t>
  </si>
  <si>
    <t xml:space="preserve">Geographical Area (GA)</t>
  </si>
  <si>
    <t xml:space="preserve">Total administrative area of the district, in sq km.</t>
  </si>
  <si>
    <t xml:space="preserve">District_Forest_Data</t>
  </si>
  <si>
    <t xml:space="preserve">VDF - Very Dense Forest</t>
  </si>
  <si>
    <t xml:space="preserve">Forest with canopy density 70% and above.</t>
  </si>
  <si>
    <t xml:space="preserve">MDF - Moderately Dense Forest</t>
  </si>
  <si>
    <t xml:space="preserve">Forest with canopy density 40% to 70%.</t>
  </si>
  <si>
    <t xml:space="preserve">OF - Open Forest</t>
  </si>
  <si>
    <t xml:space="preserve">Forest with canopy density 10% to 40%.</t>
  </si>
  <si>
    <t xml:space="preserve">Sum of VDF + MDF + OF, from satellite interpretation (IRS Resourcesat-2 LISS III, Oct-Dec 2017).</t>
  </si>
  <si>
    <t xml:space="preserve">Degraded forest land with canopy density below 10%.</t>
  </si>
  <si>
    <t xml:space="preserve">Non-Forest / Potentially Available Land</t>
  </si>
  <si>
    <t xml:space="preserve">Desk estimate = GA - Total Forest - Scrub. Includes agriculture, habitation, wasteland etc. Needs ground verification before plantation siting.</t>
  </si>
  <si>
    <t xml:space="preserve">RFA - Recorded Forest Area</t>
  </si>
  <si>
    <t xml:space="preserve">Area legally notified as forest (Reserved / Protected / Unclassed) under government records; can differ from actual satellite forest cover.</t>
  </si>
  <si>
    <t xml:space="preserve">State_Overview</t>
  </si>
  <si>
    <t xml:space="preserve">TOF - Trees Outside Forest</t>
  </si>
  <si>
    <t xml:space="preserve">Tree resources (scattered trees, small patches &lt;1 ha, agroforestry, avenue/farm trees) outside notified/recorded forest, assessed via field sampling.</t>
  </si>
  <si>
    <t xml:space="preserve">State_Overview / Recommended_Species</t>
  </si>
  <si>
    <t xml:space="preserve">Green Wash</t>
  </si>
  <si>
    <t xml:space="preserve">Digitised boundary of RFA used by FSI for inside/outside forest-cover analysis.</t>
  </si>
  <si>
    <t xml:space="preserve">Derived label (Very High/High/Moderate/Maintain) based on district forest cover % - lower cover = higher priority for new plantation.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</si>
</sst>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%"/>
    <numFmt numFmtId="168" formatCode="\+#,##0.00;\-#,##0.00;0.0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C3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3F"/>
        <bgColor rgb="FF555555"/>
      </patternFill>
    </fill>
    <fill>
      <patternFill patternType="solid">
        <fgColor rgb="FFF2F7F4"/>
        <bgColor rgb="FFFFFFFF"/>
      </patternFill>
    </fill>
    <fill>
      <patternFill patternType="solid">
        <fgColor rgb="FFD9E8DF"/>
        <bgColor rgb="FFF2F7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9C0"/>
      </left>
      <right style="thin">
        <color rgb="FFB9C9C0"/>
      </right>
      <top style="thin">
        <color rgb="FFB9C9C0"/>
      </top>
      <bottom style="thin">
        <color rgb="FFB9C9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9C0"/>
      <rgbColor rgb="FF808080"/>
      <rgbColor rgb="FF9999FF"/>
      <rgbColor rgb="FF993366"/>
      <rgbColor rgb="FFF2F7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C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4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35.05" hidden="false" customHeight="false" outlineLevel="0" collapsed="false">
      <c r="A5" s="4" t="s">
        <v>16</v>
      </c>
      <c r="B5" s="5" t="n">
        <v>1574</v>
      </c>
      <c r="C5" s="6" t="n">
        <v>0</v>
      </c>
      <c r="D5" s="6" t="n">
        <v>18</v>
      </c>
      <c r="E5" s="6" t="n">
        <v>33.35</v>
      </c>
      <c r="F5" s="6" t="n">
        <f aca="false">SUM(C5:E5)</f>
        <v>51.35</v>
      </c>
      <c r="G5" s="7" t="n">
        <f aca="false">F5/B5</f>
        <v>0.0326238881829733</v>
      </c>
      <c r="H5" s="8" t="n">
        <v>-0.65</v>
      </c>
      <c r="I5" s="6" t="n">
        <v>1</v>
      </c>
      <c r="J5" s="6" t="n">
        <f aca="false">B5-F5-I5</f>
        <v>1521.65</v>
      </c>
      <c r="K5" s="7" t="n">
        <f aca="false">J5/B5</f>
        <v>0.966740787801779</v>
      </c>
      <c r="L5" s="9" t="str">
        <f aca="false">IF(G5&lt;0.02,"Very Low",IF(G5&lt;0.05,"Low",IF(G5&lt;0.1,"Moderate",IF(G5&lt;0.2,"Good","Very Good"))))</f>
        <v>Low</v>
      </c>
      <c r="M5" s="9" t="str">
        <f aca="false">IF(G5&lt;0.02,"Very High Priority",IF(G5&lt;0.05,"High Priority",IF(G5&lt;0.1,"Moderate Priority","Maintain / Enrich")))</f>
        <v>High Priority</v>
      </c>
      <c r="N5" s="9" t="s">
        <v>17</v>
      </c>
    </row>
    <row r="6" customFormat="false" ht="23.85" hidden="false" customHeight="false" outlineLevel="0" collapsed="false">
      <c r="A6" s="10" t="s">
        <v>18</v>
      </c>
      <c r="B6" s="11" t="n">
        <v>4778</v>
      </c>
      <c r="C6" s="12" t="n">
        <v>0</v>
      </c>
      <c r="D6" s="12" t="n">
        <v>8</v>
      </c>
      <c r="E6" s="12" t="n">
        <v>105.81</v>
      </c>
      <c r="F6" s="12" t="n">
        <f aca="false">SUM(C6:E6)</f>
        <v>113.81</v>
      </c>
      <c r="G6" s="13" t="n">
        <f aca="false">F6/B6</f>
        <v>0.0238195897865216</v>
      </c>
      <c r="H6" s="14" t="n">
        <v>1.81</v>
      </c>
      <c r="I6" s="12" t="n">
        <v>11</v>
      </c>
      <c r="J6" s="12" t="n">
        <f aca="false">B6-F6-I6</f>
        <v>4653.19</v>
      </c>
      <c r="K6" s="13" t="n">
        <f aca="false">J6/B6</f>
        <v>0.973878191712013</v>
      </c>
      <c r="L6" s="15" t="str">
        <f aca="false">IF(G6&lt;0.02,"Very Low",IF(G6&lt;0.05,"Low",IF(G6&lt;0.1,"Moderate",IF(G6&lt;0.2,"Good","Very Good"))))</f>
        <v>Low</v>
      </c>
      <c r="M6" s="15" t="str">
        <f aca="false">IF(G6&lt;0.02,"Very High Priority",IF(G6&lt;0.05,"High Priority",IF(G6&lt;0.1,"Moderate Priority","Maintain / Enrich")))</f>
        <v>High Priority</v>
      </c>
      <c r="N6" s="15" t="s">
        <v>19</v>
      </c>
    </row>
    <row r="7" customFormat="false" ht="23.85" hidden="false" customHeight="false" outlineLevel="0" collapsed="false">
      <c r="A7" s="4" t="s">
        <v>20</v>
      </c>
      <c r="B7" s="5" t="n">
        <v>741</v>
      </c>
      <c r="C7" s="6" t="n">
        <v>0</v>
      </c>
      <c r="D7" s="6" t="n">
        <v>26.05</v>
      </c>
      <c r="E7" s="6" t="n">
        <v>53.89</v>
      </c>
      <c r="F7" s="6" t="n">
        <f aca="false">SUM(C7:E7)</f>
        <v>79.94</v>
      </c>
      <c r="G7" s="7" t="n">
        <f aca="false">F7/B7</f>
        <v>0.107881241565452</v>
      </c>
      <c r="H7" s="8" t="n">
        <v>-0.06</v>
      </c>
      <c r="I7" s="6" t="n">
        <v>17.76</v>
      </c>
      <c r="J7" s="6" t="n">
        <f aca="false">B7-F7-I7</f>
        <v>643.3</v>
      </c>
      <c r="K7" s="7" t="n">
        <f aca="false">J7/B7</f>
        <v>0.868151147098516</v>
      </c>
      <c r="L7" s="9" t="str">
        <f aca="false">IF(G7&lt;0.02,"Very Low",IF(G7&lt;0.05,"Low",IF(G7&lt;0.1,"Moderate",IF(G7&lt;0.2,"Good","Very Good"))))</f>
        <v>Good</v>
      </c>
      <c r="M7" s="9" t="str">
        <f aca="false">IF(G7&lt;0.02,"Very High Priority",IF(G7&lt;0.05,"High Priority",IF(G7&lt;0.1,"Moderate Priority","Maintain / Enrich")))</f>
        <v>Maintain / Enrich</v>
      </c>
      <c r="N7" s="9" t="s">
        <v>21</v>
      </c>
    </row>
    <row r="8" customFormat="false" ht="23.85" hidden="false" customHeight="false" outlineLevel="0" collapsed="false">
      <c r="A8" s="10" t="s">
        <v>22</v>
      </c>
      <c r="B8" s="11" t="n">
        <v>2538</v>
      </c>
      <c r="C8" s="12" t="n">
        <v>0</v>
      </c>
      <c r="D8" s="12" t="n">
        <v>3</v>
      </c>
      <c r="E8" s="12" t="n">
        <v>15</v>
      </c>
      <c r="F8" s="12" t="n">
        <f aca="false">SUM(C8:E8)</f>
        <v>18</v>
      </c>
      <c r="G8" s="13" t="n">
        <f aca="false">F8/B8</f>
        <v>0.00709219858156028</v>
      </c>
      <c r="H8" s="14" t="n">
        <v>0</v>
      </c>
      <c r="I8" s="12" t="n">
        <v>0</v>
      </c>
      <c r="J8" s="12" t="n">
        <f aca="false">B8-F8-I8</f>
        <v>2520</v>
      </c>
      <c r="K8" s="13" t="n">
        <f aca="false">J8/B8</f>
        <v>0.99290780141844</v>
      </c>
      <c r="L8" s="15" t="str">
        <f aca="false">IF(G8&lt;0.02,"Very Low",IF(G8&lt;0.05,"Low",IF(G8&lt;0.1,"Moderate",IF(G8&lt;0.2,"Good","Very Good"))))</f>
        <v>Very Low</v>
      </c>
      <c r="M8" s="15" t="str">
        <f aca="false">IF(G8&lt;0.02,"Very High Priority",IF(G8&lt;0.05,"High Priority",IF(G8&lt;0.1,"Moderate Priority","Maintain / Enrich")))</f>
        <v>Very High Priority</v>
      </c>
      <c r="N8" s="15" t="s">
        <v>19</v>
      </c>
    </row>
    <row r="9" customFormat="false" ht="23.85" hidden="false" customHeight="false" outlineLevel="0" collapsed="false">
      <c r="A9" s="4" t="s">
        <v>23</v>
      </c>
      <c r="B9" s="5" t="n">
        <v>1258</v>
      </c>
      <c r="C9" s="6" t="n">
        <v>0</v>
      </c>
      <c r="D9" s="6" t="n">
        <v>33.69</v>
      </c>
      <c r="E9" s="6" t="n">
        <v>82.49</v>
      </c>
      <c r="F9" s="6" t="n">
        <f aca="false">SUM(C9:E9)</f>
        <v>116.18</v>
      </c>
      <c r="G9" s="7" t="n">
        <f aca="false">F9/B9</f>
        <v>0.0923529411764706</v>
      </c>
      <c r="H9" s="8" t="n">
        <v>-0.82</v>
      </c>
      <c r="I9" s="6" t="n">
        <v>17</v>
      </c>
      <c r="J9" s="6" t="n">
        <f aca="false">B9-F9-I9</f>
        <v>1124.82</v>
      </c>
      <c r="K9" s="7" t="n">
        <f aca="false">J9/B9</f>
        <v>0.894133545310016</v>
      </c>
      <c r="L9" s="9" t="str">
        <f aca="false">IF(G9&lt;0.02,"Very Low",IF(G9&lt;0.05,"Low",IF(G9&lt;0.1,"Moderate",IF(G9&lt;0.2,"Good","Very Good"))))</f>
        <v>Moderate</v>
      </c>
      <c r="M9" s="9" t="str">
        <f aca="false">IF(G9&lt;0.02,"Very High Priority",IF(G9&lt;0.05,"High Priority",IF(G9&lt;0.1,"Moderate Priority","Maintain / Enrich")))</f>
        <v>Moderate Priority</v>
      </c>
      <c r="N9" s="9" t="s">
        <v>21</v>
      </c>
    </row>
    <row r="10" customFormat="false" ht="23.85" hidden="false" customHeight="false" outlineLevel="0" collapsed="false">
      <c r="A10" s="10" t="s">
        <v>24</v>
      </c>
      <c r="B10" s="11" t="n">
        <v>3983</v>
      </c>
      <c r="C10" s="12" t="n">
        <v>0</v>
      </c>
      <c r="D10" s="12" t="n">
        <v>11.86</v>
      </c>
      <c r="E10" s="12" t="n">
        <v>45.78</v>
      </c>
      <c r="F10" s="12" t="n">
        <f aca="false">SUM(C10:E10)</f>
        <v>57.64</v>
      </c>
      <c r="G10" s="13" t="n">
        <f aca="false">F10/B10</f>
        <v>0.014471503891539</v>
      </c>
      <c r="H10" s="14" t="n">
        <v>0.64</v>
      </c>
      <c r="I10" s="12" t="n">
        <v>4.32</v>
      </c>
      <c r="J10" s="12" t="n">
        <f aca="false">B10-F10-I10</f>
        <v>3921.04</v>
      </c>
      <c r="K10" s="13" t="n">
        <f aca="false">J10/B10</f>
        <v>0.9844438865177</v>
      </c>
      <c r="L10" s="15" t="str">
        <f aca="false">IF(G10&lt;0.02,"Very Low",IF(G10&lt;0.05,"Low",IF(G10&lt;0.1,"Moderate",IF(G10&lt;0.2,"Good","Very Good"))))</f>
        <v>Very Low</v>
      </c>
      <c r="M10" s="15" t="str">
        <f aca="false">IF(G10&lt;0.02,"Very High Priority",IF(G10&lt;0.05,"High Priority",IF(G10&lt;0.1,"Moderate Priority","Maintain / Enrich")))</f>
        <v>Very High Priority</v>
      </c>
      <c r="N10" s="15" t="s">
        <v>19</v>
      </c>
    </row>
    <row r="11" customFormat="false" ht="23.85" hidden="false" customHeight="false" outlineLevel="0" collapsed="false">
      <c r="A11" s="4" t="s">
        <v>25</v>
      </c>
      <c r="B11" s="5" t="n">
        <v>1834</v>
      </c>
      <c r="C11" s="6" t="n">
        <v>0</v>
      </c>
      <c r="D11" s="6" t="n">
        <v>0</v>
      </c>
      <c r="E11" s="6" t="n">
        <v>25.93</v>
      </c>
      <c r="F11" s="6" t="n">
        <f aca="false">SUM(C11:E11)</f>
        <v>25.93</v>
      </c>
      <c r="G11" s="7" t="n">
        <f aca="false">F11/B11</f>
        <v>0.0141384950926936</v>
      </c>
      <c r="H11" s="8" t="n">
        <v>1.93</v>
      </c>
      <c r="I11" s="6" t="n">
        <v>4</v>
      </c>
      <c r="J11" s="6" t="n">
        <f aca="false">B11-F11-I11</f>
        <v>1804.07</v>
      </c>
      <c r="K11" s="7" t="n">
        <f aca="false">J11/B11</f>
        <v>0.983680479825518</v>
      </c>
      <c r="L11" s="9" t="str">
        <f aca="false">IF(G11&lt;0.02,"Very Low",IF(G11&lt;0.05,"Low",IF(G11&lt;0.1,"Moderate",IF(G11&lt;0.2,"Good","Very Good"))))</f>
        <v>Very Low</v>
      </c>
      <c r="M11" s="9" t="str">
        <f aca="false">IF(G11&lt;0.02,"Very High Priority",IF(G11&lt;0.05,"High Priority",IF(G11&lt;0.1,"Moderate Priority","Maintain / Enrich")))</f>
        <v>Very High Priority</v>
      </c>
      <c r="N11" s="9" t="s">
        <v>21</v>
      </c>
    </row>
    <row r="12" customFormat="false" ht="23.85" hidden="false" customHeight="false" outlineLevel="0" collapsed="false">
      <c r="A12" s="10" t="s">
        <v>26</v>
      </c>
      <c r="B12" s="11" t="n">
        <v>2702</v>
      </c>
      <c r="C12" s="12" t="n">
        <v>0</v>
      </c>
      <c r="D12" s="12" t="n">
        <v>4.98</v>
      </c>
      <c r="E12" s="12" t="n">
        <v>16.02</v>
      </c>
      <c r="F12" s="12" t="n">
        <f aca="false">SUM(C12:E12)</f>
        <v>21</v>
      </c>
      <c r="G12" s="13" t="n">
        <f aca="false">F12/B12</f>
        <v>0.0077720207253886</v>
      </c>
      <c r="H12" s="14" t="n">
        <v>0</v>
      </c>
      <c r="I12" s="12" t="n">
        <v>0</v>
      </c>
      <c r="J12" s="12" t="n">
        <f aca="false">B12-F12-I12</f>
        <v>2681</v>
      </c>
      <c r="K12" s="13" t="n">
        <f aca="false">J12/B12</f>
        <v>0.992227979274611</v>
      </c>
      <c r="L12" s="15" t="str">
        <f aca="false">IF(G12&lt;0.02,"Very Low",IF(G12&lt;0.05,"Low",IF(G12&lt;0.1,"Moderate",IF(G12&lt;0.2,"Good","Very Good"))))</f>
        <v>Very Low</v>
      </c>
      <c r="M12" s="15" t="str">
        <f aca="false">IF(G12&lt;0.02,"Very High Priority",IF(G12&lt;0.05,"High Priority",IF(G12&lt;0.1,"Moderate Priority","Maintain / Enrich")))</f>
        <v>Very High Priority</v>
      </c>
      <c r="N12" s="15" t="s">
        <v>19</v>
      </c>
    </row>
    <row r="13" customFormat="false" ht="23.85" hidden="false" customHeight="false" outlineLevel="0" collapsed="false">
      <c r="A13" s="4" t="s">
        <v>27</v>
      </c>
      <c r="B13" s="5" t="n">
        <v>2317</v>
      </c>
      <c r="C13" s="6" t="n">
        <v>0</v>
      </c>
      <c r="D13" s="6" t="n">
        <v>23.92</v>
      </c>
      <c r="E13" s="6" t="n">
        <v>33.15</v>
      </c>
      <c r="F13" s="6" t="n">
        <f aca="false">SUM(C13:E13)</f>
        <v>57.07</v>
      </c>
      <c r="G13" s="7" t="n">
        <f aca="false">F13/B13</f>
        <v>0.0246309883470004</v>
      </c>
      <c r="H13" s="8" t="n">
        <v>0.07</v>
      </c>
      <c r="I13" s="6" t="n">
        <v>0</v>
      </c>
      <c r="J13" s="6" t="n">
        <f aca="false">B13-F13-I13</f>
        <v>2259.93</v>
      </c>
      <c r="K13" s="7" t="n">
        <f aca="false">J13/B13</f>
        <v>0.975369011653</v>
      </c>
      <c r="L13" s="9" t="str">
        <f aca="false">IF(G13&lt;0.02,"Very Low",IF(G13&lt;0.05,"Low",IF(G13&lt;0.1,"Moderate",IF(G13&lt;0.2,"Good","Very Good"))))</f>
        <v>Low</v>
      </c>
      <c r="M13" s="9" t="str">
        <f aca="false">IF(G13&lt;0.02,"Very High Priority",IF(G13&lt;0.05,"High Priority",IF(G13&lt;0.1,"Moderate Priority","Maintain / Enrich")))</f>
        <v>High Priority</v>
      </c>
      <c r="N13" s="9" t="s">
        <v>21</v>
      </c>
    </row>
    <row r="14" customFormat="false" ht="23.85" hidden="false" customHeight="false" outlineLevel="0" collapsed="false">
      <c r="A14" s="10" t="s">
        <v>28</v>
      </c>
      <c r="B14" s="11" t="n">
        <v>2520</v>
      </c>
      <c r="C14" s="12" t="n">
        <v>0</v>
      </c>
      <c r="D14" s="12" t="n">
        <v>4</v>
      </c>
      <c r="E14" s="12" t="n">
        <v>28.24</v>
      </c>
      <c r="F14" s="12" t="n">
        <f aca="false">SUM(C14:E14)</f>
        <v>32.24</v>
      </c>
      <c r="G14" s="13" t="n">
        <f aca="false">F14/B14</f>
        <v>0.0127936507936508</v>
      </c>
      <c r="H14" s="14" t="n">
        <v>0.24</v>
      </c>
      <c r="I14" s="12" t="n">
        <v>0.76</v>
      </c>
      <c r="J14" s="12" t="n">
        <f aca="false">B14-F14-I14</f>
        <v>2487</v>
      </c>
      <c r="K14" s="13" t="n">
        <f aca="false">J14/B14</f>
        <v>0.986904761904762</v>
      </c>
      <c r="L14" s="15" t="str">
        <f aca="false">IF(G14&lt;0.02,"Very Low",IF(G14&lt;0.05,"Low",IF(G14&lt;0.1,"Moderate",IF(G14&lt;0.2,"Good","Very Good"))))</f>
        <v>Very Low</v>
      </c>
      <c r="M14" s="15" t="str">
        <f aca="false">IF(G14&lt;0.02,"Very High Priority",IF(G14&lt;0.05,"High Priority",IF(G14&lt;0.1,"Moderate Priority","Maintain / Enrich")))</f>
        <v>Very High Priority</v>
      </c>
      <c r="N14" s="15" t="s">
        <v>21</v>
      </c>
    </row>
    <row r="15" customFormat="false" ht="23.85" hidden="false" customHeight="false" outlineLevel="0" collapsed="false">
      <c r="A15" s="4" t="s">
        <v>29</v>
      </c>
      <c r="B15" s="5" t="n">
        <v>1530</v>
      </c>
      <c r="C15" s="6" t="n">
        <v>0</v>
      </c>
      <c r="D15" s="6" t="n">
        <v>17.6</v>
      </c>
      <c r="E15" s="6" t="n">
        <v>22.15</v>
      </c>
      <c r="F15" s="6" t="n">
        <f aca="false">SUM(C15:E15)</f>
        <v>39.75</v>
      </c>
      <c r="G15" s="7" t="n">
        <f aca="false">F15/B15</f>
        <v>0.0259803921568627</v>
      </c>
      <c r="H15" s="8" t="n">
        <v>0.75</v>
      </c>
      <c r="I15" s="6" t="n">
        <v>2.5</v>
      </c>
      <c r="J15" s="6" t="n">
        <f aca="false">B15-F15-I15</f>
        <v>1487.75</v>
      </c>
      <c r="K15" s="7" t="n">
        <f aca="false">J15/B15</f>
        <v>0.972385620915033</v>
      </c>
      <c r="L15" s="9" t="str">
        <f aca="false">IF(G15&lt;0.02,"Very Low",IF(G15&lt;0.05,"Low",IF(G15&lt;0.1,"Moderate",IF(G15&lt;0.2,"Good","Very Good"))))</f>
        <v>Low</v>
      </c>
      <c r="M15" s="9" t="str">
        <f aca="false">IF(G15&lt;0.02,"Very High Priority",IF(G15&lt;0.05,"High Priority",IF(G15&lt;0.1,"Moderate Priority","Maintain / Enrich")))</f>
        <v>High Priority</v>
      </c>
      <c r="N15" s="9" t="s">
        <v>21</v>
      </c>
    </row>
    <row r="16" customFormat="false" ht="23.85" hidden="false" customHeight="false" outlineLevel="0" collapsed="false">
      <c r="A16" s="10" t="s">
        <v>30</v>
      </c>
      <c r="B16" s="11" t="n">
        <v>1899</v>
      </c>
      <c r="C16" s="12" t="n">
        <v>0</v>
      </c>
      <c r="D16" s="12" t="n">
        <v>22</v>
      </c>
      <c r="E16" s="12" t="n">
        <v>81.29</v>
      </c>
      <c r="F16" s="12" t="n">
        <f aca="false">SUM(C16:E16)</f>
        <v>103.29</v>
      </c>
      <c r="G16" s="13" t="n">
        <f aca="false">F16/B16</f>
        <v>0.054391785150079</v>
      </c>
      <c r="H16" s="14" t="n">
        <v>4.29</v>
      </c>
      <c r="I16" s="12" t="n">
        <v>35</v>
      </c>
      <c r="J16" s="12" t="n">
        <f aca="false">B16-F16-I16</f>
        <v>1760.71</v>
      </c>
      <c r="K16" s="13" t="n">
        <f aca="false">J16/B16</f>
        <v>0.927177461822012</v>
      </c>
      <c r="L16" s="15" t="str">
        <f aca="false">IF(G16&lt;0.02,"Very Low",IF(G16&lt;0.05,"Low",IF(G16&lt;0.1,"Moderate",IF(G16&lt;0.2,"Good","Very Good"))))</f>
        <v>Moderate</v>
      </c>
      <c r="M16" s="15" t="str">
        <f aca="false">IF(G16&lt;0.02,"Very High Priority",IF(G16&lt;0.05,"High Priority",IF(G16&lt;0.1,"Moderate Priority","Maintain / Enrich")))</f>
        <v>Moderate Priority</v>
      </c>
      <c r="N16" s="15" t="s">
        <v>19</v>
      </c>
    </row>
    <row r="17" customFormat="false" ht="23.85" hidden="false" customHeight="false" outlineLevel="0" collapsed="false">
      <c r="A17" s="4" t="s">
        <v>31</v>
      </c>
      <c r="B17" s="5" t="n">
        <v>1507</v>
      </c>
      <c r="C17" s="6" t="n">
        <v>0</v>
      </c>
      <c r="D17" s="6" t="n">
        <v>14</v>
      </c>
      <c r="E17" s="6" t="n">
        <v>97.18</v>
      </c>
      <c r="F17" s="6" t="n">
        <f aca="false">SUM(C17:E17)</f>
        <v>111.18</v>
      </c>
      <c r="G17" s="7" t="n">
        <f aca="false">F17/B17</f>
        <v>0.0737757133377571</v>
      </c>
      <c r="H17" s="8" t="n">
        <v>1.18</v>
      </c>
      <c r="I17" s="6" t="n">
        <v>25.38</v>
      </c>
      <c r="J17" s="6" t="n">
        <f aca="false">B17-F17-I17</f>
        <v>1370.44</v>
      </c>
      <c r="K17" s="7" t="n">
        <f aca="false">J17/B17</f>
        <v>0.909382879893829</v>
      </c>
      <c r="L17" s="9" t="str">
        <f aca="false">IF(G17&lt;0.02,"Very Low",IF(G17&lt;0.05,"Low",IF(G17&lt;0.1,"Moderate",IF(G17&lt;0.2,"Good","Very Good"))))</f>
        <v>Moderate</v>
      </c>
      <c r="M17" s="9" t="str">
        <f aca="false">IF(G17&lt;0.02,"Very High Priority",IF(G17&lt;0.05,"High Priority",IF(G17&lt;0.1,"Moderate Priority","Maintain / Enrich")))</f>
        <v>Moderate Priority</v>
      </c>
      <c r="N17" s="9" t="s">
        <v>21</v>
      </c>
    </row>
    <row r="18" customFormat="false" ht="23.85" hidden="false" customHeight="false" outlineLevel="0" collapsed="false">
      <c r="A18" s="10" t="s">
        <v>32</v>
      </c>
      <c r="B18" s="11" t="n">
        <v>1359</v>
      </c>
      <c r="C18" s="12" t="n">
        <v>0</v>
      </c>
      <c r="D18" s="12" t="n">
        <v>1.97</v>
      </c>
      <c r="E18" s="12" t="n">
        <v>12</v>
      </c>
      <c r="F18" s="12" t="n">
        <f aca="false">SUM(C18:E18)</f>
        <v>13.97</v>
      </c>
      <c r="G18" s="13" t="n">
        <f aca="false">F18/B18</f>
        <v>0.0102796173657101</v>
      </c>
      <c r="H18" s="14" t="n">
        <v>-0.03</v>
      </c>
      <c r="I18" s="12" t="n">
        <v>0</v>
      </c>
      <c r="J18" s="12" t="n">
        <f aca="false">B18-F18-I18</f>
        <v>1345.03</v>
      </c>
      <c r="K18" s="13" t="n">
        <f aca="false">J18/B18</f>
        <v>0.98972038263429</v>
      </c>
      <c r="L18" s="15" t="str">
        <f aca="false">IF(G18&lt;0.02,"Very Low",IF(G18&lt;0.05,"Low",IF(G18&lt;0.1,"Moderate",IF(G18&lt;0.2,"Good","Very Good"))))</f>
        <v>Very Low</v>
      </c>
      <c r="M18" s="15" t="str">
        <f aca="false">IF(G18&lt;0.02,"Very High Priority",IF(G18&lt;0.05,"High Priority",IF(G18&lt;0.1,"Moderate Priority","Maintain / Enrich")))</f>
        <v>Very High Priority</v>
      </c>
      <c r="N18" s="15" t="s">
        <v>21</v>
      </c>
    </row>
    <row r="19" customFormat="false" ht="35.05" hidden="false" customHeight="false" outlineLevel="0" collapsed="false">
      <c r="A19" s="4" t="s">
        <v>33</v>
      </c>
      <c r="B19" s="5" t="n">
        <v>898</v>
      </c>
      <c r="C19" s="6" t="n">
        <v>6</v>
      </c>
      <c r="D19" s="6" t="n">
        <v>150.9</v>
      </c>
      <c r="E19" s="6" t="n">
        <v>233.8</v>
      </c>
      <c r="F19" s="6" t="n">
        <f aca="false">SUM(C19:E19)</f>
        <v>390.7</v>
      </c>
      <c r="G19" s="7" t="n">
        <f aca="false">F19/B19</f>
        <v>0.435077951002227</v>
      </c>
      <c r="H19" s="8" t="n">
        <v>-0.3</v>
      </c>
      <c r="I19" s="6" t="n">
        <v>23.84</v>
      </c>
      <c r="J19" s="6" t="n">
        <f aca="false">B19-F19-I19</f>
        <v>483.46</v>
      </c>
      <c r="K19" s="7" t="n">
        <f aca="false">J19/B19</f>
        <v>0.53837416481069</v>
      </c>
      <c r="L19" s="9" t="str">
        <f aca="false">IF(G19&lt;0.02,"Very Low",IF(G19&lt;0.05,"Low",IF(G19&lt;0.1,"Moderate",IF(G19&lt;0.2,"Good","Very Good"))))</f>
        <v>Very Good</v>
      </c>
      <c r="M19" s="9" t="str">
        <f aca="false">IF(G19&lt;0.02,"Very High Priority",IF(G19&lt;0.05,"High Priority",IF(G19&lt;0.1,"Moderate Priority","Maintain / Enrich")))</f>
        <v>Maintain / Enrich</v>
      </c>
      <c r="N19" s="9" t="s">
        <v>17</v>
      </c>
    </row>
    <row r="20" customFormat="false" ht="23.85" hidden="false" customHeight="false" outlineLevel="0" collapsed="false">
      <c r="A20" s="10" t="s">
        <v>34</v>
      </c>
      <c r="B20" s="11" t="n">
        <v>1268</v>
      </c>
      <c r="C20" s="12" t="n">
        <v>0</v>
      </c>
      <c r="D20" s="12" t="n">
        <v>2.95</v>
      </c>
      <c r="E20" s="12" t="n">
        <v>12.93</v>
      </c>
      <c r="F20" s="12" t="n">
        <f aca="false">SUM(C20:E20)</f>
        <v>15.88</v>
      </c>
      <c r="G20" s="13" t="n">
        <f aca="false">F20/B20</f>
        <v>0.0125236593059937</v>
      </c>
      <c r="H20" s="14" t="n">
        <v>-0.12</v>
      </c>
      <c r="I20" s="12" t="n">
        <v>1</v>
      </c>
      <c r="J20" s="12" t="n">
        <f aca="false">B20-F20-I20</f>
        <v>1251.12</v>
      </c>
      <c r="K20" s="13" t="n">
        <f aca="false">J20/B20</f>
        <v>0.986687697160883</v>
      </c>
      <c r="L20" s="15" t="str">
        <f aca="false">IF(G20&lt;0.02,"Very Low",IF(G20&lt;0.05,"Low",IF(G20&lt;0.1,"Moderate",IF(G20&lt;0.2,"Good","Very Good"))))</f>
        <v>Very Low</v>
      </c>
      <c r="M20" s="15" t="str">
        <f aca="false">IF(G20&lt;0.02,"Very High Priority",IF(G20&lt;0.05,"High Priority",IF(G20&lt;0.1,"Moderate Priority","Maintain / Enrich")))</f>
        <v>Very High Priority</v>
      </c>
      <c r="N20" s="15" t="s">
        <v>21</v>
      </c>
    </row>
    <row r="21" customFormat="false" ht="23.85" hidden="false" customHeight="false" outlineLevel="0" collapsed="false">
      <c r="A21" s="4" t="s">
        <v>35</v>
      </c>
      <c r="B21" s="5" t="n">
        <v>1594</v>
      </c>
      <c r="C21" s="6" t="n">
        <v>0</v>
      </c>
      <c r="D21" s="6" t="n">
        <v>10</v>
      </c>
      <c r="E21" s="6" t="n">
        <v>52.45</v>
      </c>
      <c r="F21" s="6" t="n">
        <f aca="false">SUM(C21:E21)</f>
        <v>62.45</v>
      </c>
      <c r="G21" s="7" t="n">
        <f aca="false">F21/B21</f>
        <v>0.0391781681304893</v>
      </c>
      <c r="H21" s="8" t="n">
        <v>3.45</v>
      </c>
      <c r="I21" s="6" t="n">
        <v>8.44</v>
      </c>
      <c r="J21" s="6" t="n">
        <f aca="false">B21-F21-I21</f>
        <v>1523.11</v>
      </c>
      <c r="K21" s="7" t="n">
        <f aca="false">J21/B21</f>
        <v>0.955526976160602</v>
      </c>
      <c r="L21" s="9" t="str">
        <f aca="false">IF(G21&lt;0.02,"Very Low",IF(G21&lt;0.05,"Low",IF(G21&lt;0.1,"Moderate",IF(G21&lt;0.2,"Good","Very Good"))))</f>
        <v>Low</v>
      </c>
      <c r="M21" s="9" t="str">
        <f aca="false">IF(G21&lt;0.02,"Very High Priority",IF(G21&lt;0.05,"High Priority",IF(G21&lt;0.1,"Moderate Priority","Maintain / Enrich")))</f>
        <v>High Priority</v>
      </c>
      <c r="N21" s="9" t="s">
        <v>19</v>
      </c>
    </row>
    <row r="22" customFormat="false" ht="23.85" hidden="false" customHeight="false" outlineLevel="0" collapsed="false">
      <c r="A22" s="10" t="s">
        <v>36</v>
      </c>
      <c r="B22" s="11" t="n">
        <v>1745</v>
      </c>
      <c r="C22" s="12" t="n">
        <v>0</v>
      </c>
      <c r="D22" s="12" t="n">
        <v>2.97</v>
      </c>
      <c r="E22" s="12" t="n">
        <v>18.16</v>
      </c>
      <c r="F22" s="12" t="n">
        <f aca="false">SUM(C22:E22)</f>
        <v>21.13</v>
      </c>
      <c r="G22" s="13" t="n">
        <f aca="false">F22/B22</f>
        <v>0.01210888252149</v>
      </c>
      <c r="H22" s="14" t="n">
        <v>2.13</v>
      </c>
      <c r="I22" s="12" t="n">
        <v>0.39</v>
      </c>
      <c r="J22" s="12" t="n">
        <f aca="false">B22-F22-I22</f>
        <v>1723.48</v>
      </c>
      <c r="K22" s="13" t="n">
        <f aca="false">J22/B22</f>
        <v>0.987667621776504</v>
      </c>
      <c r="L22" s="15" t="str">
        <f aca="false">IF(G22&lt;0.02,"Very Low",IF(G22&lt;0.05,"Low",IF(G22&lt;0.1,"Moderate",IF(G22&lt;0.2,"Good","Very Good"))))</f>
        <v>Very Low</v>
      </c>
      <c r="M22" s="15" t="str">
        <f aca="false">IF(G22&lt;0.02,"Very High Priority",IF(G22&lt;0.05,"High Priority",IF(G22&lt;0.1,"Moderate Priority","Maintain / Enrich")))</f>
        <v>Very High Priority</v>
      </c>
      <c r="N22" s="15" t="s">
        <v>21</v>
      </c>
    </row>
    <row r="23" customFormat="false" ht="23.85" hidden="false" customHeight="false" outlineLevel="0" collapsed="false">
      <c r="A23" s="4" t="s">
        <v>37</v>
      </c>
      <c r="B23" s="5" t="n">
        <v>4277</v>
      </c>
      <c r="C23" s="6" t="n">
        <v>0</v>
      </c>
      <c r="D23" s="6" t="n">
        <v>3.01</v>
      </c>
      <c r="E23" s="6" t="n">
        <v>53.59</v>
      </c>
      <c r="F23" s="6" t="n">
        <f aca="false">SUM(C23:E23)</f>
        <v>56.6</v>
      </c>
      <c r="G23" s="7" t="n">
        <f aca="false">F23/B23</f>
        <v>0.0132335749357026</v>
      </c>
      <c r="H23" s="8" t="n">
        <v>-0.4</v>
      </c>
      <c r="I23" s="6" t="n">
        <v>0</v>
      </c>
      <c r="J23" s="6" t="n">
        <f aca="false">B23-F23-I23</f>
        <v>4220.4</v>
      </c>
      <c r="K23" s="7" t="n">
        <f aca="false">J23/B23</f>
        <v>0.986766425064297</v>
      </c>
      <c r="L23" s="9" t="str">
        <f aca="false">IF(G23&lt;0.02,"Very Low",IF(G23&lt;0.05,"Low",IF(G23&lt;0.1,"Moderate",IF(G23&lt;0.2,"Good","Very Good"))))</f>
        <v>Very Low</v>
      </c>
      <c r="M23" s="9" t="str">
        <f aca="false">IF(G23&lt;0.02,"Very High Priority",IF(G23&lt;0.05,"High Priority",IF(G23&lt;0.1,"Moderate Priority","Maintain / Enrich")))</f>
        <v>Very High Priority</v>
      </c>
      <c r="N23" s="9" t="s">
        <v>19</v>
      </c>
    </row>
    <row r="24" customFormat="false" ht="23.85" hidden="false" customHeight="false" outlineLevel="0" collapsed="false">
      <c r="A24" s="10" t="s">
        <v>38</v>
      </c>
      <c r="B24" s="11" t="n">
        <v>2122</v>
      </c>
      <c r="C24" s="12" t="n">
        <v>0</v>
      </c>
      <c r="D24" s="12" t="n">
        <v>3</v>
      </c>
      <c r="E24" s="12" t="n">
        <v>17.97</v>
      </c>
      <c r="F24" s="12" t="n">
        <f aca="false">SUM(C24:E24)</f>
        <v>20.97</v>
      </c>
      <c r="G24" s="13" t="n">
        <f aca="false">F24/B24</f>
        <v>0.00988218661639962</v>
      </c>
      <c r="H24" s="14" t="n">
        <v>0.97</v>
      </c>
      <c r="I24" s="12" t="n">
        <v>0.97</v>
      </c>
      <c r="J24" s="12" t="n">
        <f aca="false">B24-F24-I24</f>
        <v>2100.06</v>
      </c>
      <c r="K24" s="13" t="n">
        <f aca="false">J24/B24</f>
        <v>0.989660697455231</v>
      </c>
      <c r="L24" s="15" t="str">
        <f aca="false">IF(G24&lt;0.02,"Very Low",IF(G24&lt;0.05,"Low",IF(G24&lt;0.1,"Moderate",IF(G24&lt;0.2,"Good","Very Good"))))</f>
        <v>Very Low</v>
      </c>
      <c r="M24" s="15" t="str">
        <f aca="false">IF(G24&lt;0.02,"Very High Priority",IF(G24&lt;0.05,"High Priority",IF(G24&lt;0.1,"Moderate Priority","Maintain / Enrich")))</f>
        <v>Very High Priority</v>
      </c>
      <c r="N24" s="15" t="s">
        <v>21</v>
      </c>
    </row>
    <row r="25" customFormat="false" ht="35.05" hidden="false" customHeight="false" outlineLevel="0" collapsed="false">
      <c r="A25" s="4" t="s">
        <v>39</v>
      </c>
      <c r="B25" s="5" t="n">
        <v>1768</v>
      </c>
      <c r="C25" s="6" t="n">
        <v>22</v>
      </c>
      <c r="D25" s="6" t="n">
        <v>89</v>
      </c>
      <c r="E25" s="6" t="n">
        <v>82.36</v>
      </c>
      <c r="F25" s="6" t="n">
        <f aca="false">SUM(C25:E25)</f>
        <v>193.36</v>
      </c>
      <c r="G25" s="7" t="n">
        <f aca="false">F25/B25</f>
        <v>0.109366515837104</v>
      </c>
      <c r="H25" s="8" t="n">
        <v>-0.64</v>
      </c>
      <c r="I25" s="6" t="n">
        <v>0.93</v>
      </c>
      <c r="J25" s="6" t="n">
        <f aca="false">B25-F25-I25</f>
        <v>1573.71</v>
      </c>
      <c r="K25" s="7" t="n">
        <f aca="false">J25/B25</f>
        <v>0.890107466063348</v>
      </c>
      <c r="L25" s="9" t="str">
        <f aca="false">IF(G25&lt;0.02,"Very Low",IF(G25&lt;0.05,"Low",IF(G25&lt;0.1,"Moderate",IF(G25&lt;0.2,"Good","Very Good"))))</f>
        <v>Good</v>
      </c>
      <c r="M25" s="9" t="str">
        <f aca="false">IF(G25&lt;0.02,"Very High Priority",IF(G25&lt;0.05,"High Priority",IF(G25&lt;0.1,"Moderate Priority","Maintain / Enrich")))</f>
        <v>Maintain / Enrich</v>
      </c>
      <c r="N25" s="9" t="s">
        <v>17</v>
      </c>
    </row>
    <row r="26" customFormat="false" ht="15" hidden="false" customHeight="false" outlineLevel="0" collapsed="false">
      <c r="A26" s="16" t="s">
        <v>40</v>
      </c>
      <c r="B26" s="17" t="n">
        <f aca="false">SUM(B5:B25)</f>
        <v>44212</v>
      </c>
      <c r="C26" s="18" t="n">
        <f aca="false">SUM(C5:C25)</f>
        <v>28</v>
      </c>
      <c r="D26" s="18" t="n">
        <f aca="false">SUM(D5:D25)</f>
        <v>450.9</v>
      </c>
      <c r="E26" s="18" t="n">
        <f aca="false">SUM(E5:E25)</f>
        <v>1123.54</v>
      </c>
      <c r="F26" s="18" t="n">
        <f aca="false">SUM(F5:F25)</f>
        <v>1602.44</v>
      </c>
      <c r="G26" s="19" t="n">
        <f aca="false">F26/B26</f>
        <v>0.0362444585180494</v>
      </c>
      <c r="H26" s="20" t="n">
        <f aca="false">SUM(H5:H25)</f>
        <v>14.44</v>
      </c>
      <c r="I26" s="18" t="n">
        <f aca="false">SUM(I5:I25)</f>
        <v>154.29</v>
      </c>
      <c r="J26" s="18" t="n">
        <f aca="false">SUM(J5:J25)</f>
        <v>42455.27</v>
      </c>
      <c r="K26" s="19" t="n">
        <f aca="false">J26/B26</f>
        <v>0.960265764950692</v>
      </c>
      <c r="L26" s="21" t="s">
        <v>41</v>
      </c>
      <c r="M26" s="21" t="s">
        <v>41</v>
      </c>
      <c r="N26" s="21" t="s">
        <v>41</v>
      </c>
    </row>
    <row r="28" customFormat="false" ht="15" hidden="false" customHeight="false" outlineLevel="0" collapsed="false">
      <c r="A28" s="22" t="s">
        <v>42</v>
      </c>
    </row>
    <row r="29" customFormat="false" ht="27.75" hidden="false" customHeight="true" outlineLevel="0" collapsed="false">
      <c r="A29" s="23" t="s">
        <v>43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customFormat="false" ht="27.75" hidden="false" customHeight="true" outlineLevel="0" collapsed="false">
      <c r="A30" s="23" t="s">
        <v>44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customFormat="false" ht="27.75" hidden="false" customHeight="true" outlineLevel="0" collapsed="false">
      <c r="A31" s="23" t="s">
        <v>45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customFormat="false" ht="27.75" hidden="false" customHeight="true" outlineLevel="0" collapsed="false">
      <c r="A32" s="23" t="s">
        <v>46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</sheetData>
  <mergeCells count="6">
    <mergeCell ref="A1:N1"/>
    <mergeCell ref="A2:N2"/>
    <mergeCell ref="A29:N29"/>
    <mergeCell ref="A30:N30"/>
    <mergeCell ref="A31:N31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24" t="s">
        <v>47</v>
      </c>
      <c r="B1" s="24"/>
      <c r="C1" s="24"/>
    </row>
    <row r="3" customFormat="false" ht="15" hidden="false" customHeight="false" outlineLevel="0" collapsed="false">
      <c r="A3" s="25" t="s">
        <v>48</v>
      </c>
      <c r="B3" s="25"/>
    </row>
    <row r="4" customFormat="false" ht="15" hidden="false" customHeight="false" outlineLevel="0" collapsed="false">
      <c r="A4" s="26" t="s">
        <v>3</v>
      </c>
      <c r="B4" s="9" t="n">
        <v>44212</v>
      </c>
    </row>
    <row r="5" customFormat="false" ht="15" hidden="false" customHeight="false" outlineLevel="0" collapsed="false">
      <c r="A5" s="26" t="s">
        <v>49</v>
      </c>
      <c r="B5" s="9" t="n">
        <v>21</v>
      </c>
    </row>
    <row r="6" customFormat="false" ht="15" hidden="false" customHeight="false" outlineLevel="0" collapsed="false">
      <c r="A6" s="26" t="s">
        <v>50</v>
      </c>
      <c r="B6" s="9" t="n">
        <v>25.35</v>
      </c>
    </row>
    <row r="7" customFormat="false" ht="15" hidden="false" customHeight="false" outlineLevel="0" collapsed="false">
      <c r="A7" s="26" t="s">
        <v>51</v>
      </c>
      <c r="B7" s="9" t="n">
        <v>573</v>
      </c>
    </row>
    <row r="8" customFormat="false" ht="15" hidden="false" customHeight="false" outlineLevel="0" collapsed="false">
      <c r="A8" s="26" t="s">
        <v>52</v>
      </c>
      <c r="B8" s="9" t="s">
        <v>53</v>
      </c>
    </row>
    <row r="9" customFormat="false" ht="15" hidden="false" customHeight="false" outlineLevel="0" collapsed="false">
      <c r="A9" s="26" t="s">
        <v>54</v>
      </c>
      <c r="B9" s="9" t="s">
        <v>55</v>
      </c>
    </row>
    <row r="11" customFormat="false" ht="15" hidden="false" customHeight="false" outlineLevel="0" collapsed="false">
      <c r="A11" s="25" t="s">
        <v>56</v>
      </c>
      <c r="B11" s="25"/>
    </row>
    <row r="12" customFormat="false" ht="15" hidden="false" customHeight="false" outlineLevel="0" collapsed="false">
      <c r="A12" s="26" t="s">
        <v>57</v>
      </c>
      <c r="B12" s="9" t="n">
        <v>4371</v>
      </c>
    </row>
    <row r="13" customFormat="false" ht="15" hidden="false" customHeight="false" outlineLevel="0" collapsed="false">
      <c r="A13" s="26" t="s">
        <v>58</v>
      </c>
      <c r="B13" s="9" t="n">
        <v>37</v>
      </c>
    </row>
    <row r="14" customFormat="false" ht="15" hidden="false" customHeight="false" outlineLevel="0" collapsed="false">
      <c r="A14" s="26" t="s">
        <v>59</v>
      </c>
      <c r="B14" s="9" t="n">
        <v>653</v>
      </c>
    </row>
    <row r="15" customFormat="false" ht="15" hidden="false" customHeight="false" outlineLevel="0" collapsed="false">
      <c r="A15" s="26" t="s">
        <v>60</v>
      </c>
      <c r="B15" s="9" t="n">
        <v>25</v>
      </c>
    </row>
    <row r="16" customFormat="false" ht="15" hidden="false" customHeight="false" outlineLevel="0" collapsed="false">
      <c r="A16" s="26" t="s">
        <v>61</v>
      </c>
      <c r="B16" s="9" t="n">
        <v>9</v>
      </c>
    </row>
    <row r="17" customFormat="false" ht="15" hidden="false" customHeight="false" outlineLevel="0" collapsed="false">
      <c r="A17" s="26" t="s">
        <v>62</v>
      </c>
      <c r="B17" s="9" t="n">
        <v>17</v>
      </c>
    </row>
    <row r="18" customFormat="false" ht="15" hidden="false" customHeight="false" outlineLevel="0" collapsed="false">
      <c r="A18" s="26" t="s">
        <v>63</v>
      </c>
      <c r="B18" s="9" t="n">
        <v>22</v>
      </c>
    </row>
    <row r="19" customFormat="false" ht="15" hidden="false" customHeight="false" outlineLevel="0" collapsed="false">
      <c r="A19" s="26" t="s">
        <v>64</v>
      </c>
      <c r="B19" s="9" t="n">
        <v>86</v>
      </c>
    </row>
    <row r="20" customFormat="false" ht="15" hidden="false" customHeight="false" outlineLevel="0" collapsed="false">
      <c r="A20" s="26" t="s">
        <v>65</v>
      </c>
      <c r="B20" s="9" t="n">
        <v>3522</v>
      </c>
    </row>
    <row r="22" customFormat="false" ht="15" hidden="false" customHeight="false" outlineLevel="0" collapsed="false">
      <c r="A22" s="25" t="s">
        <v>66</v>
      </c>
      <c r="B22" s="25"/>
    </row>
    <row r="23" customFormat="false" ht="15" hidden="false" customHeight="false" outlineLevel="0" collapsed="false">
      <c r="A23" s="26" t="s">
        <v>67</v>
      </c>
      <c r="B23" s="9" t="n">
        <v>28</v>
      </c>
    </row>
    <row r="24" customFormat="false" ht="15" hidden="false" customHeight="false" outlineLevel="0" collapsed="false">
      <c r="A24" s="26" t="s">
        <v>68</v>
      </c>
      <c r="B24" s="9" t="n">
        <v>450.9</v>
      </c>
    </row>
    <row r="25" customFormat="false" ht="15" hidden="false" customHeight="false" outlineLevel="0" collapsed="false">
      <c r="A25" s="26" t="s">
        <v>69</v>
      </c>
      <c r="B25" s="9" t="n">
        <v>1123.54</v>
      </c>
    </row>
    <row r="26" customFormat="false" ht="15" hidden="false" customHeight="false" outlineLevel="0" collapsed="false">
      <c r="A26" s="26" t="s">
        <v>70</v>
      </c>
      <c r="B26" s="9" t="n">
        <v>1602.44</v>
      </c>
    </row>
    <row r="27" customFormat="false" ht="15" hidden="false" customHeight="false" outlineLevel="0" collapsed="false">
      <c r="A27" s="26" t="s">
        <v>71</v>
      </c>
      <c r="B27" s="9" t="s">
        <v>72</v>
      </c>
    </row>
    <row r="28" customFormat="false" ht="15" hidden="false" customHeight="false" outlineLevel="0" collapsed="false">
      <c r="A28" s="26" t="s">
        <v>73</v>
      </c>
      <c r="B28" s="9" t="n">
        <v>154.29</v>
      </c>
    </row>
    <row r="29" customFormat="false" ht="15" hidden="false" customHeight="false" outlineLevel="0" collapsed="false">
      <c r="A29" s="26" t="s">
        <v>9</v>
      </c>
      <c r="B29" s="9" t="s">
        <v>74</v>
      </c>
    </row>
    <row r="30" customFormat="false" ht="15" hidden="false" customHeight="false" outlineLevel="0" collapsed="false">
      <c r="A30" s="26" t="s">
        <v>75</v>
      </c>
      <c r="B30" s="9" t="n">
        <v>1565</v>
      </c>
    </row>
    <row r="31" customFormat="false" ht="15" hidden="false" customHeight="false" outlineLevel="0" collapsed="false">
      <c r="A31" s="26" t="s">
        <v>76</v>
      </c>
      <c r="B31" s="9" t="n">
        <v>2794</v>
      </c>
    </row>
    <row r="33" customFormat="false" ht="15" hidden="false" customHeight="false" outlineLevel="0" collapsed="false">
      <c r="A33" s="25" t="s">
        <v>77</v>
      </c>
      <c r="B33" s="25"/>
    </row>
    <row r="34" customFormat="false" ht="15" hidden="false" customHeight="false" outlineLevel="0" collapsed="false">
      <c r="A34" s="26" t="s">
        <v>78</v>
      </c>
      <c r="B34" s="9" t="n">
        <v>1559</v>
      </c>
    </row>
    <row r="35" customFormat="false" ht="15" hidden="false" customHeight="false" outlineLevel="0" collapsed="false">
      <c r="A35" s="26" t="s">
        <v>79</v>
      </c>
      <c r="B35" s="9" t="s">
        <v>80</v>
      </c>
    </row>
    <row r="36" customFormat="false" ht="15" hidden="false" customHeight="false" outlineLevel="0" collapsed="false">
      <c r="A36" s="26" t="s">
        <v>81</v>
      </c>
      <c r="B36" s="9" t="s">
        <v>82</v>
      </c>
    </row>
    <row r="37" customFormat="false" ht="15" hidden="false" customHeight="false" outlineLevel="0" collapsed="false">
      <c r="A37" s="26" t="s">
        <v>83</v>
      </c>
      <c r="B37" s="9" t="s">
        <v>84</v>
      </c>
    </row>
    <row r="38" customFormat="false" ht="15" hidden="false" customHeight="false" outlineLevel="0" collapsed="false">
      <c r="A38" s="26" t="s">
        <v>85</v>
      </c>
      <c r="B38" s="9" t="n">
        <v>1529</v>
      </c>
    </row>
    <row r="40" customFormat="false" ht="15" hidden="false" customHeight="false" outlineLevel="0" collapsed="false">
      <c r="A40" s="25" t="s">
        <v>86</v>
      </c>
      <c r="B40" s="25"/>
    </row>
    <row r="41" customFormat="false" ht="15" hidden="false" customHeight="false" outlineLevel="0" collapsed="false">
      <c r="A41" s="26" t="s">
        <v>87</v>
      </c>
      <c r="B41" s="9" t="n">
        <v>10.47</v>
      </c>
    </row>
    <row r="42" customFormat="false" ht="15" hidden="false" customHeight="false" outlineLevel="0" collapsed="false">
      <c r="A42" s="26" t="s">
        <v>88</v>
      </c>
      <c r="B42" s="9" t="n">
        <v>38.39</v>
      </c>
    </row>
    <row r="43" customFormat="false" ht="15" hidden="false" customHeight="false" outlineLevel="0" collapsed="false">
      <c r="A43" s="26" t="s">
        <v>89</v>
      </c>
      <c r="B43" s="9" t="n">
        <v>4.22</v>
      </c>
    </row>
    <row r="44" customFormat="false" ht="15" hidden="false" customHeight="false" outlineLevel="0" collapsed="false">
      <c r="A44" s="26" t="s">
        <v>90</v>
      </c>
      <c r="B44" s="9" t="n">
        <v>17.56</v>
      </c>
    </row>
    <row r="46" customFormat="false" ht="15" hidden="false" customHeight="false" outlineLevel="0" collapsed="false">
      <c r="A46" s="25" t="s">
        <v>91</v>
      </c>
      <c r="B46" s="25"/>
    </row>
    <row r="47" customFormat="false" ht="15" hidden="false" customHeight="false" outlineLevel="0" collapsed="false">
      <c r="A47" s="26" t="s">
        <v>92</v>
      </c>
      <c r="B47" s="9" t="n">
        <v>2</v>
      </c>
    </row>
    <row r="48" customFormat="false" ht="15" hidden="false" customHeight="false" outlineLevel="0" collapsed="false">
      <c r="A48" s="26" t="s">
        <v>93</v>
      </c>
      <c r="B48" s="9" t="n">
        <v>8</v>
      </c>
    </row>
    <row r="49" customFormat="false" ht="15" hidden="false" customHeight="false" outlineLevel="0" collapsed="false">
      <c r="A49" s="26" t="s">
        <v>94</v>
      </c>
      <c r="B49" s="9" t="n">
        <v>2</v>
      </c>
    </row>
    <row r="50" customFormat="false" ht="15" hidden="false" customHeight="false" outlineLevel="0" collapsed="false">
      <c r="A50" s="26" t="s">
        <v>95</v>
      </c>
      <c r="B50" s="9" t="s">
        <v>96</v>
      </c>
    </row>
  </sheetData>
  <mergeCells count="7">
    <mergeCell ref="A1:C1"/>
    <mergeCell ref="A3:B3"/>
    <mergeCell ref="A11:B11"/>
    <mergeCell ref="A22:B22"/>
    <mergeCell ref="A33:B33"/>
    <mergeCell ref="A40:B40"/>
    <mergeCell ref="A46:B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24" t="s">
        <v>97</v>
      </c>
      <c r="B1" s="24"/>
      <c r="C1" s="24"/>
      <c r="D1" s="24"/>
    </row>
    <row r="3" customFormat="false" ht="15" hidden="false" customHeight="false" outlineLevel="0" collapsed="false">
      <c r="A3" s="22" t="s">
        <v>98</v>
      </c>
    </row>
    <row r="4" customFormat="false" ht="26.85" hidden="false" customHeight="false" outlineLevel="0" collapsed="false">
      <c r="A4" s="3" t="s">
        <v>99</v>
      </c>
      <c r="B4" s="3" t="s">
        <v>100</v>
      </c>
      <c r="C4" s="3" t="s">
        <v>101</v>
      </c>
    </row>
    <row r="5" customFormat="false" ht="15" hidden="false" customHeight="false" outlineLevel="0" collapsed="false">
      <c r="A5" s="4" t="n">
        <v>1</v>
      </c>
      <c r="B5" s="9" t="s">
        <v>102</v>
      </c>
      <c r="C5" s="9" t="n">
        <v>22.02</v>
      </c>
    </row>
    <row r="6" customFormat="false" ht="15" hidden="false" customHeight="false" outlineLevel="0" collapsed="false">
      <c r="A6" s="4" t="n">
        <v>2</v>
      </c>
      <c r="B6" s="9" t="s">
        <v>103</v>
      </c>
      <c r="C6" s="9" t="n">
        <v>12.06</v>
      </c>
    </row>
    <row r="7" customFormat="false" ht="15" hidden="false" customHeight="false" outlineLevel="0" collapsed="false">
      <c r="A7" s="4" t="n">
        <v>3</v>
      </c>
      <c r="B7" s="9" t="s">
        <v>104</v>
      </c>
      <c r="C7" s="9" t="n">
        <v>9.26</v>
      </c>
    </row>
    <row r="8" customFormat="false" ht="15" hidden="false" customHeight="false" outlineLevel="0" collapsed="false">
      <c r="A8" s="4" t="n">
        <v>4</v>
      </c>
      <c r="B8" s="9" t="s">
        <v>105</v>
      </c>
      <c r="C8" s="9" t="n">
        <v>8.19</v>
      </c>
    </row>
    <row r="9" customFormat="false" ht="15" hidden="false" customHeight="false" outlineLevel="0" collapsed="false">
      <c r="A9" s="4" t="n">
        <v>5</v>
      </c>
      <c r="B9" s="9" t="s">
        <v>106</v>
      </c>
      <c r="C9" s="9" t="n">
        <v>6.56</v>
      </c>
    </row>
    <row r="11" customFormat="false" ht="15" hidden="false" customHeight="false" outlineLevel="0" collapsed="false">
      <c r="A11" s="22" t="s">
        <v>107</v>
      </c>
    </row>
    <row r="12" customFormat="false" ht="26.85" hidden="false" customHeight="false" outlineLevel="0" collapsed="false">
      <c r="A12" s="3" t="s">
        <v>99</v>
      </c>
      <c r="B12" s="3" t="s">
        <v>100</v>
      </c>
      <c r="C12" s="3" t="s">
        <v>101</v>
      </c>
    </row>
    <row r="13" customFormat="false" ht="15" hidden="false" customHeight="false" outlineLevel="0" collapsed="false">
      <c r="A13" s="4" t="n">
        <v>1</v>
      </c>
      <c r="B13" s="9" t="s">
        <v>102</v>
      </c>
      <c r="C13" s="9" t="n">
        <v>15.37</v>
      </c>
    </row>
    <row r="14" customFormat="false" ht="15" hidden="false" customHeight="false" outlineLevel="0" collapsed="false">
      <c r="A14" s="4" t="n">
        <v>2</v>
      </c>
      <c r="B14" s="9" t="s">
        <v>105</v>
      </c>
      <c r="C14" s="9" t="n">
        <v>11.06</v>
      </c>
    </row>
    <row r="15" customFormat="false" ht="15" hidden="false" customHeight="false" outlineLevel="0" collapsed="false">
      <c r="A15" s="4" t="n">
        <v>3</v>
      </c>
      <c r="B15" s="9" t="s">
        <v>108</v>
      </c>
      <c r="C15" s="9" t="n">
        <v>8.99</v>
      </c>
    </row>
    <row r="16" customFormat="false" ht="15" hidden="false" customHeight="false" outlineLevel="0" collapsed="false">
      <c r="A16" s="4" t="n">
        <v>4</v>
      </c>
      <c r="B16" s="9" t="s">
        <v>109</v>
      </c>
      <c r="C16" s="9" t="n">
        <v>6.08</v>
      </c>
    </row>
    <row r="17" customFormat="false" ht="15" hidden="false" customHeight="false" outlineLevel="0" collapsed="false">
      <c r="A17" s="4" t="n">
        <v>5</v>
      </c>
      <c r="B17" s="9" t="s">
        <v>110</v>
      </c>
      <c r="C17" s="9" t="n">
        <v>6.05</v>
      </c>
    </row>
    <row r="19" customFormat="false" ht="15" hidden="false" customHeight="false" outlineLevel="0" collapsed="false">
      <c r="A19" s="22" t="s">
        <v>111</v>
      </c>
    </row>
    <row r="20" customFormat="false" ht="26.85" hidden="false" customHeight="false" outlineLevel="0" collapsed="false">
      <c r="A20" s="3" t="s">
        <v>99</v>
      </c>
      <c r="B20" s="3" t="s">
        <v>100</v>
      </c>
      <c r="C20" s="3" t="s">
        <v>112</v>
      </c>
    </row>
    <row r="21" customFormat="false" ht="15" hidden="false" customHeight="false" outlineLevel="0" collapsed="false">
      <c r="A21" s="4" t="n">
        <v>1</v>
      </c>
      <c r="B21" s="9" t="s">
        <v>113</v>
      </c>
      <c r="C21" s="9" t="n">
        <v>78</v>
      </c>
    </row>
    <row r="22" customFormat="false" ht="15" hidden="false" customHeight="false" outlineLevel="0" collapsed="false">
      <c r="A22" s="4" t="n">
        <v>2</v>
      </c>
      <c r="B22" s="9" t="s">
        <v>108</v>
      </c>
      <c r="C22" s="9" t="n">
        <v>54</v>
      </c>
    </row>
    <row r="23" customFormat="false" ht="15" hidden="false" customHeight="false" outlineLevel="0" collapsed="false">
      <c r="A23" s="4" t="n">
        <v>3</v>
      </c>
      <c r="B23" s="9" t="s">
        <v>114</v>
      </c>
      <c r="C23" s="9" t="n">
        <v>54</v>
      </c>
    </row>
    <row r="24" customFormat="false" ht="15" hidden="false" customHeight="false" outlineLevel="0" collapsed="false">
      <c r="A24" s="4" t="n">
        <v>4</v>
      </c>
      <c r="B24" s="9" t="s">
        <v>115</v>
      </c>
      <c r="C24" s="9" t="n">
        <v>26</v>
      </c>
    </row>
    <row r="25" customFormat="false" ht="15" hidden="false" customHeight="false" outlineLevel="0" collapsed="false">
      <c r="A25" s="4" t="n">
        <v>5</v>
      </c>
      <c r="B25" s="9" t="s">
        <v>116</v>
      </c>
      <c r="C25" s="9" t="n">
        <v>14</v>
      </c>
    </row>
    <row r="27" customFormat="false" ht="15" hidden="false" customHeight="false" outlineLevel="0" collapsed="false">
      <c r="A27" s="22" t="s">
        <v>117</v>
      </c>
    </row>
    <row r="28" customFormat="false" ht="15" hidden="false" customHeight="false" outlineLevel="0" collapsed="false">
      <c r="A28" s="3" t="s">
        <v>118</v>
      </c>
      <c r="B28" s="3" t="s">
        <v>119</v>
      </c>
    </row>
    <row r="29" customFormat="false" ht="15" hidden="false" customHeight="false" outlineLevel="0" collapsed="false">
      <c r="A29" s="4" t="s">
        <v>120</v>
      </c>
      <c r="B29" s="27" t="n">
        <v>2.66</v>
      </c>
    </row>
    <row r="30" customFormat="false" ht="15" hidden="false" customHeight="false" outlineLevel="0" collapsed="false">
      <c r="A30" s="4" t="s">
        <v>121</v>
      </c>
      <c r="B30" s="27" t="n">
        <v>30.2</v>
      </c>
    </row>
    <row r="31" customFormat="false" ht="15" hidden="false" customHeight="false" outlineLevel="0" collapsed="false">
      <c r="A31" s="4" t="s">
        <v>122</v>
      </c>
      <c r="B31" s="27" t="n">
        <v>1.62</v>
      </c>
    </row>
    <row r="32" customFormat="false" ht="15" hidden="false" customHeight="false" outlineLevel="0" collapsed="false">
      <c r="A32" s="4" t="s">
        <v>123</v>
      </c>
      <c r="B32" s="27" t="n">
        <v>0.41</v>
      </c>
    </row>
    <row r="33" customFormat="false" ht="15" hidden="false" customHeight="false" outlineLevel="0" collapsed="false">
      <c r="A33" s="4" t="s">
        <v>124</v>
      </c>
      <c r="B33" s="27" t="n">
        <v>0.89</v>
      </c>
    </row>
    <row r="34" customFormat="false" ht="15" hidden="false" customHeight="false" outlineLevel="0" collapsed="false">
      <c r="A34" s="4" t="s">
        <v>125</v>
      </c>
      <c r="B34" s="27" t="n">
        <v>5</v>
      </c>
    </row>
    <row r="35" customFormat="false" ht="15" hidden="false" customHeight="false" outlineLevel="0" collapsed="false">
      <c r="A35" s="4" t="s">
        <v>126</v>
      </c>
      <c r="B35" s="27" t="n">
        <v>14.32</v>
      </c>
    </row>
    <row r="36" customFormat="false" ht="15" hidden="false" customHeight="false" outlineLevel="0" collapsed="false">
      <c r="A36" s="4" t="s">
        <v>127</v>
      </c>
      <c r="B36" s="27" t="n">
        <v>6.08</v>
      </c>
    </row>
    <row r="37" customFormat="false" ht="15" hidden="false" customHeight="false" outlineLevel="0" collapsed="false">
      <c r="A37" s="4" t="s">
        <v>128</v>
      </c>
      <c r="B37" s="27" t="n">
        <v>6.4</v>
      </c>
    </row>
    <row r="38" customFormat="false" ht="15" hidden="false" customHeight="false" outlineLevel="0" collapsed="false">
      <c r="A38" s="4" t="s">
        <v>129</v>
      </c>
      <c r="B38" s="27" t="n">
        <v>0.72</v>
      </c>
    </row>
    <row r="39" customFormat="false" ht="15" hidden="false" customHeight="false" outlineLevel="0" collapsed="false">
      <c r="A39" s="4" t="s">
        <v>130</v>
      </c>
      <c r="B39" s="27" t="n">
        <v>31.7</v>
      </c>
    </row>
    <row r="41" customFormat="false" ht="15" hidden="false" customHeight="false" outlineLevel="0" collapsed="false">
      <c r="A41" s="28" t="s">
        <v>131</v>
      </c>
      <c r="B41" s="28"/>
      <c r="C41" s="28"/>
      <c r="D41" s="28"/>
    </row>
  </sheetData>
  <mergeCells count="2">
    <mergeCell ref="A1:D1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24" t="s">
        <v>132</v>
      </c>
      <c r="B1" s="24"/>
      <c r="C1" s="24"/>
    </row>
    <row r="3" customFormat="false" ht="15" hidden="false" customHeight="false" outlineLevel="0" collapsed="false">
      <c r="A3" s="3" t="s">
        <v>133</v>
      </c>
      <c r="B3" s="3" t="s">
        <v>134</v>
      </c>
      <c r="C3" s="3" t="s">
        <v>135</v>
      </c>
    </row>
    <row r="4" customFormat="false" ht="15" hidden="false" customHeight="false" outlineLevel="0" collapsed="false">
      <c r="A4" s="4" t="s">
        <v>136</v>
      </c>
      <c r="B4" s="4" t="s">
        <v>137</v>
      </c>
      <c r="C4" s="4" t="s">
        <v>138</v>
      </c>
    </row>
    <row r="5" customFormat="false" ht="15" hidden="false" customHeight="false" outlineLevel="0" collapsed="false">
      <c r="A5" s="4" t="s">
        <v>139</v>
      </c>
      <c r="B5" s="4" t="s">
        <v>140</v>
      </c>
      <c r="C5" s="4" t="s">
        <v>138</v>
      </c>
    </row>
    <row r="6" customFormat="false" ht="15" hidden="false" customHeight="false" outlineLevel="0" collapsed="false">
      <c r="A6" s="4" t="s">
        <v>141</v>
      </c>
      <c r="B6" s="4" t="s">
        <v>142</v>
      </c>
      <c r="C6" s="4" t="s">
        <v>138</v>
      </c>
    </row>
    <row r="7" customFormat="false" ht="15" hidden="false" customHeight="false" outlineLevel="0" collapsed="false">
      <c r="A7" s="4" t="s">
        <v>143</v>
      </c>
      <c r="B7" s="4" t="s">
        <v>144</v>
      </c>
      <c r="C7" s="4" t="s">
        <v>138</v>
      </c>
    </row>
    <row r="8" customFormat="false" ht="23.85" hidden="false" customHeight="false" outlineLevel="0" collapsed="false">
      <c r="A8" s="4" t="s">
        <v>70</v>
      </c>
      <c r="B8" s="4" t="s">
        <v>145</v>
      </c>
      <c r="C8" s="4" t="s">
        <v>138</v>
      </c>
    </row>
    <row r="9" customFormat="false" ht="15" hidden="false" customHeight="false" outlineLevel="0" collapsed="false">
      <c r="A9" s="4" t="s">
        <v>73</v>
      </c>
      <c r="B9" s="4" t="s">
        <v>146</v>
      </c>
      <c r="C9" s="4" t="s">
        <v>138</v>
      </c>
    </row>
    <row r="10" customFormat="false" ht="23.85" hidden="false" customHeight="false" outlineLevel="0" collapsed="false">
      <c r="A10" s="4" t="s">
        <v>147</v>
      </c>
      <c r="B10" s="4" t="s">
        <v>148</v>
      </c>
      <c r="C10" s="4" t="s">
        <v>138</v>
      </c>
    </row>
    <row r="11" customFormat="false" ht="23.85" hidden="false" customHeight="false" outlineLevel="0" collapsed="false">
      <c r="A11" s="4" t="s">
        <v>149</v>
      </c>
      <c r="B11" s="4" t="s">
        <v>150</v>
      </c>
      <c r="C11" s="4" t="s">
        <v>151</v>
      </c>
    </row>
    <row r="12" customFormat="false" ht="23.85" hidden="false" customHeight="false" outlineLevel="0" collapsed="false">
      <c r="A12" s="4" t="s">
        <v>152</v>
      </c>
      <c r="B12" s="4" t="s">
        <v>153</v>
      </c>
      <c r="C12" s="4" t="s">
        <v>154</v>
      </c>
    </row>
    <row r="13" customFormat="false" ht="15" hidden="false" customHeight="false" outlineLevel="0" collapsed="false">
      <c r="A13" s="4" t="s">
        <v>155</v>
      </c>
      <c r="B13" s="4" t="s">
        <v>156</v>
      </c>
      <c r="C13" s="4" t="s">
        <v>151</v>
      </c>
    </row>
    <row r="14" customFormat="false" ht="23.85" hidden="false" customHeight="false" outlineLevel="0" collapsed="false">
      <c r="A14" s="4" t="s">
        <v>14</v>
      </c>
      <c r="B14" s="4" t="s">
        <v>157</v>
      </c>
      <c r="C14" s="4" t="s">
        <v>138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2026-07-11T14:10:18Z</dcterms:created>
  <dc:creator>openpyxl</dc:creator>
  <dc:description/>
  <dc:language>en-US</dc:language>
  <cp:lastModifiedBy/>
  <dcterms:modified xsi:type="dcterms:W3CDTF">2026-07-11T14:10:18Z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